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armando.reis/Library/Mobile Documents/com~apple~CloudDocs/tech/profarma-d1000/marketplace-in-report-financeiro/"/>
    </mc:Choice>
  </mc:AlternateContent>
  <xr:revisionPtr revIDLastSave="0" documentId="13_ncr:1_{C28977B0-0FF1-414D-AEBF-291C0E8F5CEC}" xr6:coauthVersionLast="47" xr6:coauthVersionMax="47" xr10:uidLastSave="{00000000-0000-0000-0000-000000000000}"/>
  <bookViews>
    <workbookView xWindow="0" yWindow="880" windowWidth="36000" windowHeight="22500" xr2:uid="{D888CCA7-FA03-48A3-9CCE-3250552CAE22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V3" i="1" s="1"/>
  <c r="W3" i="1"/>
</calcChain>
</file>

<file path=xl/sharedStrings.xml><?xml version="1.0" encoding="utf-8"?>
<sst xmlns="http://schemas.openxmlformats.org/spreadsheetml/2006/main" count="74" uniqueCount="72">
  <si>
    <t xml:space="preserve"> Id Pedido </t>
  </si>
  <si>
    <t xml:space="preserve"> Número pedido VTEX </t>
  </si>
  <si>
    <t xml:space="preserve">Id do Seller </t>
  </si>
  <si>
    <t>Nome do Seller</t>
  </si>
  <si>
    <t>Status Pedido</t>
  </si>
  <si>
    <t xml:space="preserve"> Data Pedido </t>
  </si>
  <si>
    <t xml:space="preserve"> Data de Entrega </t>
  </si>
  <si>
    <t xml:space="preserve"> Data do pagamento </t>
  </si>
  <si>
    <t xml:space="preserve"> Conciliação </t>
  </si>
  <si>
    <t>Início Ciclo</t>
  </si>
  <si>
    <t>Fim Ciclo</t>
  </si>
  <si>
    <t xml:space="preserve"> Total Pedido </t>
  </si>
  <si>
    <t xml:space="preserve"> Valor Produtos </t>
  </si>
  <si>
    <t xml:space="preserve"> Valor Frete </t>
  </si>
  <si>
    <t xml:space="preserve"> % Comissão sobre produto </t>
  </si>
  <si>
    <t xml:space="preserve"> % Comissão sobre frete </t>
  </si>
  <si>
    <t xml:space="preserve"> Tipo Pagamento </t>
  </si>
  <si>
    <t xml:space="preserve"> Total Comissão </t>
  </si>
  <si>
    <t xml:space="preserve"> Comissão Produto </t>
  </si>
  <si>
    <t xml:space="preserve"> Comissão Frete </t>
  </si>
  <si>
    <t xml:space="preserve"> Total Repasse </t>
  </si>
  <si>
    <t xml:space="preserve"> Repasse Produto </t>
  </si>
  <si>
    <t xml:space="preserve"> Repasse Frete </t>
  </si>
  <si>
    <t xml:space="preserve"> Campanha </t>
  </si>
  <si>
    <t xml:space="preserve"> Vigência </t>
  </si>
  <si>
    <t>Descrição  Campanha</t>
  </si>
  <si>
    <t>23</t>
  </si>
  <si>
    <t>1532291799464-01</t>
  </si>
  <si>
    <t>YSKY97446016589275</t>
  </si>
  <si>
    <t>Unicpharma</t>
  </si>
  <si>
    <t>Entregue</t>
  </si>
  <si>
    <t>2025-05-15T10:04:48.683000</t>
  </si>
  <si>
    <t>2025-05-26T14:27:00.000000</t>
  </si>
  <si>
    <t>2025-05-15T10:03:54.000000</t>
  </si>
  <si>
    <t>MONTHLY</t>
  </si>
  <si>
    <t>2025-04-26T00:00:00</t>
  </si>
  <si>
    <t>2025-05-25T00:00:00</t>
  </si>
  <si>
    <t>72,29</t>
  </si>
  <si>
    <t>15.0</t>
  </si>
  <si>
    <t>15.000000000000002</t>
  </si>
  <si>
    <t>CARTAO_CREDITO MASTERCARD 2x</t>
  </si>
  <si>
    <t>10,84</t>
  </si>
  <si>
    <t>7,76</t>
  </si>
  <si>
    <t>3,09</t>
  </si>
  <si>
    <t>61,45</t>
  </si>
  <si>
    <t xml:space="preserve"> </t>
  </si>
  <si>
    <t>CYCLE.orderData.id;</t>
  </si>
  <si>
    <t>CYCLE.marketplaceData.marketPlaceId</t>
  </si>
  <si>
    <t>CYCLE.tenant</t>
  </si>
  <si>
    <t>CYCLE.sellerName</t>
  </si>
  <si>
    <t>ORDER.orderData.orderStatus</t>
  </si>
  <si>
    <t>ORDER.createDate</t>
  </si>
  <si>
    <t>ORDER.deliveryData.deliveryDate</t>
  </si>
  <si>
    <t>ORDER.orderData.approvalDate</t>
  </si>
  <si>
    <t xml:space="preserve"> FINANCIAL.financialCicleType</t>
  </si>
  <si>
    <t>CYCLE.beginningOfCycle</t>
  </si>
  <si>
    <t>CYCLE.endOfCycle</t>
  </si>
  <si>
    <t>ORDER.orderValuesData.value</t>
  </si>
  <si>
    <t>(ORDER.items.quantityData.quantity * (ORDER.items.priceData.unitPrice - ORDER.items.priceData.discountUnit))
Obs.: Necessário somar esse cálculo para todos os itens do pedido</t>
  </si>
  <si>
    <t>ORDER.items.freightData.chargedValue
*Necessário somar esse cálculo para todos os itens do pedido</t>
  </si>
  <si>
    <t>FINANCIAL.itensCommissionPercent</t>
  </si>
  <si>
    <t>FINANCIAL.freightCommissionPercent</t>
  </si>
  <si>
    <t>ORDER.formsPayments.type, ORDER.formsPayments.card, ORDER.formsPayments.amountPlots
*Concatenar campos</t>
  </si>
  <si>
    <t>FINANCIAL.totalCommissionValue</t>
  </si>
  <si>
    <t>FINANCIAL.itensCommissionValue</t>
  </si>
  <si>
    <t>FINANCIAL.freightCommissionValue;</t>
  </si>
  <si>
    <t>FINANCIAL.totalTransferSeller</t>
  </si>
  <si>
    <t>Valor Produtos - Comissão Produto</t>
  </si>
  <si>
    <t>Valor Frete - Comissão Frete</t>
  </si>
  <si>
    <t>FINANCIAL.discounts.promotionId</t>
  </si>
  <si>
    <t>CAMPAIGN.initialDate e CAMPAIGN.finalDate</t>
  </si>
  <si>
    <t>CAMPAIGN.description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</si>
</sst>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indexed="8"/>
      <name val="Aptos Narrow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1" fillId="2" borderId="1" xfId="1" applyFill="1" applyBorder="1" applyAlignment="1">
      <alignment horizontal="left" vertical="center"/>
    </xf>
    <xf numFmtId="0" fontId="1" fillId="2" borderId="1" xfId="1" applyFill="1" applyBorder="1" applyAlignment="1">
      <alignment horizontal="left" vertical="center" wrapText="1"/>
    </xf>
    <xf numFmtId="0" fontId="2" fillId="0" borderId="1" xfId="1" applyFont="1" applyBorder="1" applyAlignment="1">
      <alignment horizontal="center" vertical="center"/>
    </xf>
    <xf numFmtId="49" fontId="1" fillId="0" borderId="1" xfId="1" applyNumberFormat="1" applyBorder="1" applyAlignment="1">
      <alignment horizontal="center" vertical="center"/>
    </xf>
    <xf numFmtId="49" fontId="0" fillId="0" borderId="1" xfId="0" applyNumberFormat="1" applyBorder="1"/>
    <xf numFmtId="0" fontId="0" fillId="0" borderId="1" xfId="0" applyBorder="1" applyAlignment="1">
      <alignment horizontal="center"/>
    </xf>
  </cellXfs>
  <cellStyles count="2">
    <cellStyle name="Excel Built-in Normal" xfId="1" xr:uid="{EB1E85F1-9E34-475E-98F1-E2735FC64883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B7B07-1304-49B1-B8F3-DBC9445E775D}">
  <dimension ref="A1:Z3"/>
  <sheetViews>
    <sheetView tabSelected="1" workbookViewId="0">
      <selection sqref="A1:A1048576"/>
    </sheetView>
  </sheetViews>
  <sheetFormatPr baseColWidth="10" defaultColWidth="8.83203125" defaultRowHeight="15" x14ac:dyDescent="0.2"/>
  <cols>
    <col min="1" max="1" width="10" customWidth="1"/>
    <col min="2" max="2" width="21.1640625" customWidth="1"/>
    <col min="3" max="3" width="19.5" customWidth="1"/>
    <col min="4" max="4" width="14.83203125" customWidth="1"/>
    <col min="5" max="5" width="14.33203125" customWidth="1"/>
    <col min="6" max="8" width="24" customWidth="1"/>
    <col min="9" max="9" width="14" customWidth="1"/>
    <col min="10" max="11" width="18.5" customWidth="1"/>
    <col min="12" max="12" width="11.33203125" customWidth="1"/>
    <col min="13" max="14" width="13.83203125" customWidth="1"/>
    <col min="15" max="16" width="23.6640625" customWidth="1"/>
    <col min="17" max="17" width="30.1640625" customWidth="1"/>
    <col min="18" max="23" width="17.6640625" customWidth="1"/>
    <col min="24" max="26" width="28.5" customWidth="1"/>
  </cols>
  <sheetData>
    <row r="1" spans="1:26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3" t="s">
        <v>25</v>
      </c>
    </row>
    <row r="2" spans="1:26" ht="98" customHeight="1" x14ac:dyDescent="0.2">
      <c r="A2" s="1" t="s">
        <v>46</v>
      </c>
      <c r="B2" s="1" t="s">
        <v>47</v>
      </c>
      <c r="C2" s="1" t="s">
        <v>48</v>
      </c>
      <c r="D2" s="1" t="s">
        <v>49</v>
      </c>
      <c r="E2" s="1" t="s">
        <v>50</v>
      </c>
      <c r="F2" s="1" t="s">
        <v>51</v>
      </c>
      <c r="G2" s="1" t="s">
        <v>52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2" t="s">
        <v>58</v>
      </c>
      <c r="N2" s="2" t="s">
        <v>59</v>
      </c>
      <c r="O2" s="1" t="s">
        <v>60</v>
      </c>
      <c r="P2" s="1" t="s">
        <v>61</v>
      </c>
      <c r="Q2" s="2" t="s">
        <v>62</v>
      </c>
      <c r="R2" s="1" t="s">
        <v>63</v>
      </c>
      <c r="S2" s="1" t="s">
        <v>64</v>
      </c>
      <c r="T2" s="1" t="s">
        <v>65</v>
      </c>
      <c r="U2" s="1" t="s">
        <v>66</v>
      </c>
      <c r="V2" s="1" t="s">
        <v>67</v>
      </c>
      <c r="W2" s="1" t="s">
        <v>68</v>
      </c>
      <c r="X2" s="1" t="s">
        <v>69</v>
      </c>
      <c r="Y2" s="1" t="s">
        <v>70</v>
      </c>
      <c r="Z2" s="1" t="s">
        <v>71</v>
      </c>
    </row>
    <row r="3" spans="1:26" x14ac:dyDescent="0.2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4" t="s">
        <v>32</v>
      </c>
      <c r="H3" s="4" t="s">
        <v>33</v>
      </c>
      <c r="I3" s="4" t="s">
        <v>34</v>
      </c>
      <c r="J3" s="4" t="s">
        <v>35</v>
      </c>
      <c r="K3" s="4" t="s">
        <v>36</v>
      </c>
      <c r="L3" s="4" t="s">
        <v>37</v>
      </c>
      <c r="M3" s="6">
        <f>(1*(51.7-0))</f>
        <v>51.7</v>
      </c>
      <c r="N3" s="6">
        <v>20.59</v>
      </c>
      <c r="O3" s="6" t="s">
        <v>38</v>
      </c>
      <c r="P3" s="4" t="s">
        <v>39</v>
      </c>
      <c r="Q3" s="4" t="s">
        <v>40</v>
      </c>
      <c r="R3" s="4" t="s">
        <v>41</v>
      </c>
      <c r="S3" s="4" t="s">
        <v>42</v>
      </c>
      <c r="T3" s="4" t="s">
        <v>43</v>
      </c>
      <c r="U3" s="4" t="s">
        <v>44</v>
      </c>
      <c r="V3" s="5">
        <f>M3-S3</f>
        <v>43.940000000000005</v>
      </c>
      <c r="W3" s="5">
        <f>N3-T3</f>
        <v>17.5</v>
      </c>
      <c r="X3" s="4" t="s">
        <v>45</v>
      </c>
      <c r="Y3" s="4" t="s">
        <v>45</v>
      </c>
      <c r="Z3" s="3" t="s">
        <v>45</v>
      </c>
    </row>
  </sheetData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544d9f26-d299-4fdf-ade4-3c7f693a6862}" enabled="1" method="Privileged" siteId="{25b01ded-bdbe-483f-9f13-3a33e59dc12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Helena Veras Lobo Moreira</dc:creator>
  <cp:keywords/>
  <dc:description/>
  <cp:lastModifiedBy>Armando Junior</cp:lastModifiedBy>
  <cp:revision/>
  <dcterms:created xsi:type="dcterms:W3CDTF">2025-06-01T13:38:13Z</dcterms:created>
  <dcterms:modified xsi:type="dcterms:W3CDTF">2025-06-05T15:35:43Z</dcterms:modified>
  <cp:category/>
  <cp:contentStatus/>
</cp:coreProperties>
</file>